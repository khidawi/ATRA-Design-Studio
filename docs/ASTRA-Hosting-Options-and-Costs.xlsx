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quirements" sheetId="2" state="visible" r:id="rId2"/>
    <sheet name="Options" sheetId="3" state="visible" r:id="rId3"/>
    <sheet name="Scenarios" sheetId="4" state="visible" r:id="rId4"/>
    <sheet name="Other costs" sheetId="5" state="visible" r:id="rId5"/>
    <sheet name="Sources" sheetId="6" state="visible" r:id="rId6"/>
  </sheets>
  <definedNames>
    <definedName name="_xlnm._FilterDatabase" localSheetId="2" hidden="1">'Options'!$A$1:$M$16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3A5F"/>
      <sz val="18"/>
    </font>
    <font>
      <name val="Calibri"/>
      <i val="1"/>
      <color rgb="005B6675"/>
    </font>
    <font>
      <name val="Calibri"/>
      <b val="1"/>
      <color rgb="001F3A5F"/>
    </font>
    <font>
      <name val="Calibri"/>
      <sz val="10.5"/>
    </font>
    <font>
      <name val="Calibri"/>
      <b val="1"/>
      <color rgb="00FFFFFF"/>
      <sz val="11"/>
    </font>
    <font>
      <name val="Calibri"/>
      <color rgb="001E4FCB"/>
      <sz val="10"/>
      <u val="single"/>
    </font>
    <font>
      <name val="Calibri"/>
      <b val="1"/>
      <color rgb="001F3A5F"/>
      <sz val="14"/>
    </font>
    <font>
      <name val="Calibri"/>
      <b val="1"/>
    </font>
  </fonts>
  <fills count="7">
    <fill>
      <patternFill/>
    </fill>
    <fill>
      <patternFill patternType="gray125"/>
    </fill>
    <fill>
      <patternFill patternType="solid">
        <fgColor rgb="001F3A5F"/>
      </patternFill>
    </fill>
    <fill>
      <patternFill patternType="solid">
        <fgColor rgb="00E3F4EA"/>
      </patternFill>
    </fill>
    <fill>
      <patternFill patternType="solid">
        <fgColor rgb="00FFF4D6"/>
      </patternFill>
    </fill>
    <fill>
      <patternFill patternType="solid">
        <fgColor rgb="00FBE3E1"/>
      </patternFill>
    </fill>
    <fill>
      <patternFill patternType="solid">
        <fgColor rgb="00FFFFCC"/>
      </patternFill>
    </fill>
  </fills>
  <borders count="2">
    <border>
      <left/>
      <right/>
      <top/>
      <bottom/>
      <diagonal/>
    </border>
    <border>
      <left style="thin">
        <color rgb="00C9D1DB"/>
      </left>
      <right style="thin">
        <color rgb="00C9D1DB"/>
      </right>
      <top style="thin">
        <color rgb="00C9D1DB"/>
      </top>
      <bottom style="thin">
        <color rgb="00C9D1DB"/>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4" fillId="0" borderId="1" applyAlignment="1" pivotButton="0" quotePrefix="0" xfId="0">
      <alignment vertical="top" wrapText="1"/>
    </xf>
    <xf numFmtId="4" fontId="4" fillId="3" borderId="1" applyAlignment="1" pivotButton="0" quotePrefix="0" xfId="0">
      <alignment vertical="top" wrapText="1"/>
    </xf>
    <xf numFmtId="0" fontId="4" fillId="3" borderId="1" applyAlignment="1" pivotButton="0" quotePrefix="0" xfId="0">
      <alignment vertical="top" wrapText="1"/>
    </xf>
    <xf numFmtId="0" fontId="6" fillId="0" borderId="1" applyAlignment="1" pivotButton="0" quotePrefix="0" xfId="0">
      <alignment vertical="top" wrapText="1"/>
    </xf>
    <xf numFmtId="4" fontId="4" fillId="4" borderId="1" applyAlignment="1" pivotButton="0" quotePrefix="0" xfId="0">
      <alignment vertical="top" wrapText="1"/>
    </xf>
    <xf numFmtId="0" fontId="4" fillId="4" borderId="1" applyAlignment="1" pivotButton="0" quotePrefix="0" xfId="0">
      <alignment vertical="top" wrapText="1"/>
    </xf>
    <xf numFmtId="4" fontId="4" fillId="5" borderId="1" applyAlignment="1" pivotButton="0" quotePrefix="0" xfId="0">
      <alignment vertical="top" wrapText="1"/>
    </xf>
    <xf numFmtId="0" fontId="4" fillId="5" borderId="1" applyAlignment="1" pivotButton="0" quotePrefix="0" xfId="0">
      <alignment vertical="top" wrapText="1"/>
    </xf>
    <xf numFmtId="0" fontId="7" fillId="0" borderId="0" pivotButton="0" quotePrefix="0" xfId="0"/>
    <xf numFmtId="0" fontId="8" fillId="0" borderId="0" pivotButton="0" quotePrefix="0" xfId="0"/>
    <xf numFmtId="0" fontId="0" fillId="6" borderId="0" pivotButton="0" quotePrefix="0" xfId="0"/>
    <xf numFmtId="9" fontId="0" fillId="6" borderId="0" pivotButton="0" quotePrefix="0" xfId="0"/>
    <xf numFmtId="4"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digitalocean.com/pricing/droplets" TargetMode="External" Id="rId1" /><Relationship Type="http://schemas.openxmlformats.org/officeDocument/2006/relationships/hyperlink" Target="https://www.digitalocean.com/pricing/droplets" TargetMode="External" Id="rId2" /><Relationship Type="http://schemas.openxmlformats.org/officeDocument/2006/relationships/hyperlink" Target="https://www.whtop.com/amp/plans/digitalocean.com/137775" TargetMode="External" Id="rId3" /><Relationship Type="http://schemas.openxmlformats.org/officeDocument/2006/relationships/hyperlink" Target="https://aws.amazon.com/lightsail/pricing/" TargetMode="External" Id="rId4" /><Relationship Type="http://schemas.openxmlformats.org/officeDocument/2006/relationships/hyperlink" Target="https://aws.amazon.com/lightsail/pricing/" TargetMode="External" Id="rId5" /><Relationship Type="http://schemas.openxmlformats.org/officeDocument/2006/relationships/hyperlink" Target="https://aws.amazon.com/lightsail/pricing/" TargetMode="External" Id="rId6" /><Relationship Type="http://schemas.openxmlformats.org/officeDocument/2006/relationships/hyperlink" Target="https://aws.amazon.com/lightsail/pricing/" TargetMode="External" Id="rId7" /><Relationship Type="http://schemas.openxmlformats.org/officeDocument/2006/relationships/hyperlink" Target="https://www.devzero.io/instances/azure/Standard_B2als_v2" TargetMode="External" Id="rId8" /><Relationship Type="http://schemas.openxmlformats.org/officeDocument/2006/relationships/hyperlink" Target="https://www.bytebase.com/dbcost/azure-flexible/instance/B2s/" TargetMode="External" Id="rId9" /><Relationship Type="http://schemas.openxmlformats.org/officeDocument/2006/relationships/hyperlink" Target="https://www.hetzner.com/cloud/regular-performance/" TargetMode="External" Id="rId10" /><Relationship Type="http://schemas.openxmlformats.org/officeDocument/2006/relationships/hyperlink" Target="https://www.scaleway.com/en/pricing/virtual-instances/" TargetMode="External" Id="rId11" /><Relationship Type="http://schemas.openxmlformats.org/officeDocument/2006/relationships/hyperlink" Target="https://www.mythic-beasts.com/servers/virtual" TargetMode="External" Id="rId12" /><Relationship Type="http://schemas.openxmlformats.org/officeDocument/2006/relationships/hyperlink" Target="https://makerkit.dev/pricing-calculator/render" TargetMode="External" Id="rId13" /><Relationship Type="http://schemas.openxmlformats.org/officeDocument/2006/relationships/hyperlink" Target="https://www.morphllm.com/comparisons/flyio-vs-render" TargetMode="External" Id="rId14" /></Relationships>
</file>

<file path=xl/worksheets/_rels/sheet6.xml.rels><Relationships xmlns="http://schemas.openxmlformats.org/package/2006/relationships"><Relationship Type="http://schemas.openxmlformats.org/officeDocument/2006/relationships/hyperlink" Target="https://www.digitalocean.com/pricing/droplets" TargetMode="External" Id="rId1" /><Relationship Type="http://schemas.openxmlformats.org/officeDocument/2006/relationships/hyperlink" Target="https://aws.amazon.com/lightsail/pricing/" TargetMode="External" Id="rId2" /><Relationship Type="http://schemas.openxmlformats.org/officeDocument/2006/relationships/hyperlink" Target="https://www.hetzner.com/cloud/regular-performance/" TargetMode="External" Id="rId3" /><Relationship Type="http://schemas.openxmlformats.org/officeDocument/2006/relationships/hyperlink" Target="https://www.scaleway.com/en/pricing/virtual-instances/" TargetMode="External" Id="rId4" /><Relationship Type="http://schemas.openxmlformats.org/officeDocument/2006/relationships/hyperlink" Target="https://www.mythic-beasts.com/servers/virtual" TargetMode="External" Id="rId5" /><Relationship Type="http://schemas.openxmlformats.org/officeDocument/2006/relationships/hyperlink" Target="https://www.whtop.com/amp/plans/digitalocean.com/137775" TargetMode="External" Id="rId6" /><Relationship Type="http://schemas.openxmlformats.org/officeDocument/2006/relationships/hyperlink" Target="https://www.devzero.io/instances/azure/Standard_B2als_v2" TargetMode="External" Id="rId7" /><Relationship Type="http://schemas.openxmlformats.org/officeDocument/2006/relationships/hyperlink" Target="https://www.bytebase.com/dbcost/azure-flexible/instance/B2s/" TargetMode="External" Id="rId8" /><Relationship Type="http://schemas.openxmlformats.org/officeDocument/2006/relationships/hyperlink" Target="https://makerkit.dev/pricing-calculator/render" TargetMode="External" Id="rId9" /><Relationship Type="http://schemas.openxmlformats.org/officeDocument/2006/relationships/hyperlink" Target="https://www.morphllm.com/comparisons/flyio-vs-render" TargetMode="External" Id="rId10" /><Relationship Type="http://schemas.openxmlformats.org/officeDocument/2006/relationships/hyperlink" Target="https://privatedevops.com/news/hetzner-june-2026-cloud-price-increase-what-to-do" TargetMode="External" Id="rId11" /></Relationships>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6" customWidth="1" min="1" max="1"/>
    <col width="110" customWidth="1" min="2" max="2"/>
  </cols>
  <sheetData>
    <row r="1">
      <c r="A1" s="1" t="inlineStr">
        <is>
          <t>ASTRA: hosting options and costs</t>
        </is>
      </c>
    </row>
    <row r="2">
      <c r="A2" s="2" t="inlineStr">
        <is>
          <t>Prepared for Prof. Haris Mouratidis, University of Essex (IADS). Prices checked on 27 October 2026.</t>
        </is>
      </c>
    </row>
    <row r="4" ht="32" customHeight="1">
      <c r="A4" s="3" t="inlineStr">
        <is>
          <t>Purpose</t>
        </is>
      </c>
      <c r="B4" s="4" t="inlineStr">
        <is>
          <t>Specific online services that could host ASTRA, with the monthly cost of each, for (1) a shared test, (2) a pilot with a managed database, and (3) a small production set-up.</t>
        </is>
      </c>
    </row>
    <row r="5" ht="64" customHeight="1">
      <c r="A5" s="3" t="inlineStr">
        <is>
          <t>What ASTRA needs</t>
        </is>
      </c>
      <c r="B5" s="4" t="inlineStr">
        <is>
          <t>A Linux server that runs Docker Compose: three containers (web studio, API, PostgreSQL 16). From the repository's deployment guide (deploy/DEPLOY.md): Docker Engine with Compose v2.20 or later, about 4 GB RAM, about 5 GB disk, no GPU. For production, HTTPS in front (free with Let's Encrypt and Caddy), backups, and a database that is not exposed to the internet.</t>
        </is>
      </c>
    </row>
    <row r="6" ht="80" customHeight="1">
      <c r="A6" s="3" t="inlineStr">
        <is>
          <t>How to read the prices</t>
        </is>
      </c>
      <c r="B6" s="4" t="inlineStr">
        <is>
          <t>Green cells: read on the provider's own pricing page on 27 Oct 2026. Amber cells: from third-party pricing sites that disagree with each other or could not be checked against the provider: treat as indicative and confirm before ordering. Red cells: the provider does not publish a price for the spec; a quote is needed. Currencies are as the provider quotes them (USD, EUR or GBP); the Scenarios sheet converts using rates you can edit.</t>
        </is>
      </c>
    </row>
    <row r="7" ht="32" customHeight="1">
      <c r="A7" s="3" t="inlineStr">
        <is>
          <t>Taxes</t>
        </is>
      </c>
      <c r="B7" s="4" t="inlineStr">
        <is>
          <t>Provider prices are normally shown excluding VAT. The Scenarios sheet adds UK VAT at a rate you can change.</t>
        </is>
      </c>
    </row>
    <row r="8" ht="112" customHeight="1">
      <c r="A8" s="3" t="inlineStr">
        <is>
          <t>Main finding</t>
        </is>
      </c>
      <c r="B8" s="4" t="inlineStr">
        <is>
          <t>A single 4 GB server (about USD 24 a month at DigitalOcean or Amazon Lightsail, both verified, both with a London region) is enough for a shared test. Adding a managed PostgreSQL database for a pilot costs about USD 54 a month at Lightsail (verified) and about USD 85 at DigitalOcean or Azure (database figure unverified). Cheapest verified EU options are Scaleway (about EUR 17 a month, Paris) and Hetzner (EUR 19.99, Germany or Finland, but Hetzner's page showed the plans as currently unavailable when checked). Hetzner and Scaleway have no UK data centre. For UK data residency use DigitalOcean London, Lightsail London, Azure UK South or Mythic Beasts (quote).</t>
        </is>
      </c>
    </row>
    <row r="9" ht="64" customHeight="1">
      <c r="A9" s="3" t="inlineStr">
        <is>
          <t>Not verified (important)</t>
        </is>
      </c>
      <c r="B9" s="4" t="inlineStr">
        <is>
          <t>Region-specific prices (London) for DigitalOcean and Lightsail were not separately checked; list prices were read from the global pricing page. Azure and managed-database figures marked amber come from third-party sites. Exchange rates on the Scenarios sheet are placeholders. Always confirm in the provider's own calculator before committing.</t>
        </is>
      </c>
    </row>
    <row r="10" ht="48" customHeight="1">
      <c r="A10" s="3" t="inlineStr">
        <is>
          <t>What is not in these figures</t>
        </is>
      </c>
      <c r="B10" s="4" t="inlineStr">
        <is>
          <t>Domain name, backups and snapshot storage, outbound traffic beyond the allowance, monitoring and log storage, staff time to run and patch the server, and an independent security test. See the Other costs sheet.</t>
        </is>
      </c>
    </row>
    <row r="11" ht="32" customHeight="1">
      <c r="A11" s="3" t="inlineStr">
        <is>
          <t>Sheets</t>
        </is>
      </c>
      <c r="B11" s="4" t="inlineStr">
        <is>
          <t>Requirements (sizing), Options (every service with price and source), Scenarios (monthly totals, editable rates), Other costs,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60" customWidth="1" min="5" max="5"/>
  </cols>
  <sheetData>
    <row r="1" ht="32" customHeight="1">
      <c r="A1" s="5" t="inlineStr">
        <is>
          <t>Item</t>
        </is>
      </c>
      <c r="B1" s="5" t="inlineStr">
        <is>
          <t>Shared test</t>
        </is>
      </c>
      <c r="C1" s="5" t="inlineStr">
        <is>
          <t>Pilot</t>
        </is>
      </c>
      <c r="D1" s="5" t="inlineStr">
        <is>
          <t>Small production</t>
        </is>
      </c>
      <c r="E1" s="5" t="inlineStr">
        <is>
          <t>Basis</t>
        </is>
      </c>
    </row>
    <row r="2">
      <c r="A2" s="6" t="inlineStr">
        <is>
          <t>Servers (Docker host)</t>
        </is>
      </c>
      <c r="B2" s="6" t="inlineStr">
        <is>
          <t>1</t>
        </is>
      </c>
      <c r="C2" s="6" t="inlineStr">
        <is>
          <t>1</t>
        </is>
      </c>
      <c r="D2" s="6" t="inlineStr">
        <is>
          <t>1 to 2 (second for staging)</t>
        </is>
      </c>
      <c r="E2" s="6" t="inlineStr">
        <is>
          <t>ASTRA is single-organisation per instance; one Compose stack per customer.</t>
        </is>
      </c>
    </row>
    <row r="3">
      <c r="A3" s="6" t="inlineStr">
        <is>
          <t>RAM</t>
        </is>
      </c>
      <c r="B3" s="6" t="inlineStr">
        <is>
          <t>4 GB</t>
        </is>
      </c>
      <c r="C3" s="6" t="inlineStr">
        <is>
          <t>4 GB</t>
        </is>
      </c>
      <c r="D3" s="6" t="inlineStr">
        <is>
          <t>8 GB</t>
        </is>
      </c>
      <c r="E3" s="6" t="inlineStr">
        <is>
          <t>Repository guide says about 4 GB. The 8 GB for production is my sizing assumption for headroom with more monitors and users; not measured.</t>
        </is>
      </c>
    </row>
    <row r="4">
      <c r="A4" s="6" t="inlineStr">
        <is>
          <t>vCPU</t>
        </is>
      </c>
      <c r="B4" s="6" t="inlineStr">
        <is>
          <t>2</t>
        </is>
      </c>
      <c r="C4" s="6" t="inlineStr">
        <is>
          <t>2</t>
        </is>
      </c>
      <c r="D4" s="6" t="inlineStr">
        <is>
          <t>2 to 4</t>
        </is>
      </c>
      <c r="E4" s="6" t="inlineStr">
        <is>
          <t>Assumption: the API is light; telemetry and many monitors raise CPU.</t>
        </is>
      </c>
    </row>
    <row r="5">
      <c r="A5" s="6" t="inlineStr">
        <is>
          <t>Disk</t>
        </is>
      </c>
      <c r="B5" s="6" t="inlineStr">
        <is>
          <t>40 to 80 GB</t>
        </is>
      </c>
      <c r="C5" s="6" t="inlineStr">
        <is>
          <t>80 GB</t>
        </is>
      </c>
      <c r="D5" s="6" t="inlineStr">
        <is>
          <t>80 to 160 GB</t>
        </is>
      </c>
      <c r="E5" s="6" t="inlineStr">
        <is>
          <t>Guide says about 5 GB; extra is for the database and logs. Assumption.</t>
        </is>
      </c>
    </row>
    <row r="6">
      <c r="A6" s="6" t="inlineStr">
        <is>
          <t>Database</t>
        </is>
      </c>
      <c r="B6" s="6" t="inlineStr">
        <is>
          <t>PostgreSQL in a container on the same server</t>
        </is>
      </c>
      <c r="C6" s="6" t="inlineStr">
        <is>
          <t>Managed PostgreSQL (optional)</t>
        </is>
      </c>
      <c r="D6" s="6" t="inlineStr">
        <is>
          <t>Managed PostgreSQL with backups</t>
        </is>
      </c>
      <c r="E6" s="6" t="inlineStr">
        <is>
          <t>A managed database gives backups and patching but costs about as much as the server.</t>
        </is>
      </c>
    </row>
    <row r="7">
      <c r="A7" s="6" t="inlineStr">
        <is>
          <t>HTTPS</t>
        </is>
      </c>
      <c r="B7" s="6" t="inlineStr">
        <is>
          <t>Caddy + Let's Encrypt (no cost)</t>
        </is>
      </c>
      <c r="C7" s="6" t="inlineStr">
        <is>
          <t>Same</t>
        </is>
      </c>
      <c r="D7" s="6" t="inlineStr">
        <is>
          <t>Same, or the cloud load balancer</t>
        </is>
      </c>
      <c r="E7" s="6" t="inlineStr">
        <is>
          <t>Described in the Secure Deployment Guide.</t>
        </is>
      </c>
    </row>
    <row r="8">
      <c r="A8" s="6" t="inlineStr">
        <is>
          <t>Region</t>
        </is>
      </c>
      <c r="B8" s="6" t="inlineStr">
        <is>
          <t>Any</t>
        </is>
      </c>
      <c r="C8" s="6" t="inlineStr">
        <is>
          <t>UK or EU</t>
        </is>
      </c>
      <c r="D8" s="6" t="inlineStr">
        <is>
          <t>UK (data residency)</t>
        </is>
      </c>
      <c r="E8" s="6" t="inlineStr">
        <is>
          <t>Public-sector users will normally want UK or EU residency.</t>
        </is>
      </c>
    </row>
    <row r="9">
      <c r="A9" s="6" t="inlineStr">
        <is>
          <t>Not needed</t>
        </is>
      </c>
      <c r="B9" s="6" t="inlineStr">
        <is>
          <t>GPU, Ollama</t>
        </is>
      </c>
      <c r="C9" s="6" t="inlineStr">
        <is>
          <t>GPU, Ollama</t>
        </is>
      </c>
      <c r="D9" s="6" t="inlineStr">
        <is>
          <t>GPU, Ollama</t>
        </is>
      </c>
      <c r="E9" s="6" t="inlineStr">
        <is>
          <t>The deployment package leaves out the local language model.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8" customWidth="1" min="2" max="2"/>
    <col width="24" customWidth="1" min="3" max="3"/>
    <col width="7" customWidth="1" min="4" max="4"/>
    <col width="9" customWidth="1" min="5" max="5"/>
    <col width="12" customWidth="1" min="6" max="6"/>
    <col width="12" customWidth="1" min="7" max="7"/>
    <col width="12" customWidth="1" min="8" max="8"/>
    <col width="9" customWidth="1" min="9" max="9"/>
    <col width="22" customWidth="1" min="10" max="10"/>
    <col width="18" customWidth="1" min="11" max="11"/>
    <col width="52" customWidth="1" min="12" max="12"/>
    <col width="60" customWidth="1" min="13" max="13"/>
  </cols>
  <sheetData>
    <row r="1" ht="32" customHeight="1">
      <c r="A1" s="5" t="inlineStr">
        <is>
          <t>Provider</t>
        </is>
      </c>
      <c r="B1" s="5" t="inlineStr">
        <is>
          <t>Service</t>
        </is>
      </c>
      <c r="C1" s="5" t="inlineStr">
        <is>
          <t>Plan / size</t>
        </is>
      </c>
      <c r="D1" s="5" t="inlineStr">
        <is>
          <t>vCPU</t>
        </is>
      </c>
      <c r="E1" s="5" t="inlineStr">
        <is>
          <t>RAM (GB)</t>
        </is>
      </c>
      <c r="F1" s="5" t="inlineStr">
        <is>
          <t>Storage</t>
        </is>
      </c>
      <c r="G1" s="5" t="inlineStr">
        <is>
          <t>Transfer included</t>
        </is>
      </c>
      <c r="H1" s="5" t="inlineStr">
        <is>
          <t>Price per month</t>
        </is>
      </c>
      <c r="I1" s="5" t="inlineStr">
        <is>
          <t>Currency</t>
        </is>
      </c>
      <c r="J1" s="5" t="inlineStr">
        <is>
          <t>Region / UK?</t>
        </is>
      </c>
      <c r="K1" s="5" t="inlineStr">
        <is>
          <t>Price status</t>
        </is>
      </c>
      <c r="L1" s="5" t="inlineStr">
        <is>
          <t>Reference (link to the price source)</t>
        </is>
      </c>
      <c r="M1" s="5" t="inlineStr">
        <is>
          <t>Notes</t>
        </is>
      </c>
    </row>
    <row r="2" ht="62" customHeight="1">
      <c r="A2" s="6" t="inlineStr">
        <is>
          <t>DigitalOcean</t>
        </is>
      </c>
      <c r="B2" s="6" t="inlineStr">
        <is>
          <t>Droplet (virtual server)</t>
        </is>
      </c>
      <c r="C2" s="6" t="inlineStr">
        <is>
          <t>Basic, 4 GiB</t>
        </is>
      </c>
      <c r="D2" s="6" t="n">
        <v>2</v>
      </c>
      <c r="E2" s="6" t="n">
        <v>4</v>
      </c>
      <c r="F2" s="6" t="inlineStr">
        <is>
          <t>80 GiB SSD</t>
        </is>
      </c>
      <c r="G2" s="6" t="inlineStr">
        <is>
          <t>4,000 GiB</t>
        </is>
      </c>
      <c r="H2" s="7" t="n">
        <v>24</v>
      </c>
      <c r="I2" s="6" t="inlineStr">
        <is>
          <t>USD</t>
        </is>
      </c>
      <c r="J2" s="6" t="inlineStr">
        <is>
          <t>London (UK) data centre exists</t>
        </is>
      </c>
      <c r="K2" s="8" t="inlineStr">
        <is>
          <t>Verified on provider page</t>
        </is>
      </c>
      <c r="L2" s="9" t="inlineStr">
        <is>
          <t>https://www.digitalocean.com/pricing/droplets</t>
        </is>
      </c>
      <c r="M2" s="6" t="inlineStr">
        <is>
          <t>Plan availability per region not checked. Shared vCPU.</t>
        </is>
      </c>
    </row>
    <row r="3" ht="62" customHeight="1">
      <c r="A3" s="6" t="inlineStr">
        <is>
          <t>DigitalOcean</t>
        </is>
      </c>
      <c r="B3" s="6" t="inlineStr">
        <is>
          <t>Droplet (virtual server)</t>
        </is>
      </c>
      <c r="C3" s="6" t="inlineStr">
        <is>
          <t>Basic, 8 GiB</t>
        </is>
      </c>
      <c r="D3" s="6" t="n">
        <v>4</v>
      </c>
      <c r="E3" s="6" t="n">
        <v>8</v>
      </c>
      <c r="F3" s="6" t="inlineStr">
        <is>
          <t>160 GiB SSD</t>
        </is>
      </c>
      <c r="G3" s="6" t="inlineStr">
        <is>
          <t>5,000 GiB</t>
        </is>
      </c>
      <c r="H3" s="7" t="n">
        <v>48</v>
      </c>
      <c r="I3" s="6" t="inlineStr">
        <is>
          <t>USD</t>
        </is>
      </c>
      <c r="J3" s="6" t="inlineStr">
        <is>
          <t>London (UK) data centre exists</t>
        </is>
      </c>
      <c r="K3" s="8" t="inlineStr">
        <is>
          <t>Verified on provider page</t>
        </is>
      </c>
      <c r="L3" s="9" t="inlineStr">
        <is>
          <t>https://www.digitalocean.com/pricing/droplets</t>
        </is>
      </c>
      <c r="M3" s="6" t="inlineStr">
        <is>
          <t>Headroom option for production.</t>
        </is>
      </c>
    </row>
    <row r="4" ht="62" customHeight="1">
      <c r="A4" s="6" t="inlineStr">
        <is>
          <t>DigitalOcean</t>
        </is>
      </c>
      <c r="B4" s="6" t="inlineStr">
        <is>
          <t>Managed PostgreSQL</t>
        </is>
      </c>
      <c r="C4" s="6" t="inlineStr">
        <is>
          <t>4 GiB / 2 vCPU</t>
        </is>
      </c>
      <c r="D4" s="6" t="n">
        <v>2</v>
      </c>
      <c r="E4" s="6" t="n">
        <v>4</v>
      </c>
      <c r="F4" s="6" t="inlineStr">
        <is>
          <t>60 GB</t>
        </is>
      </c>
      <c r="G4" s="6" t="inlineStr"/>
      <c r="H4" s="10" t="n">
        <v>60.9</v>
      </c>
      <c r="I4" s="6" t="inlineStr">
        <is>
          <t>USD</t>
        </is>
      </c>
      <c r="J4" s="6" t="inlineStr">
        <is>
          <t>UK region not checked</t>
        </is>
      </c>
      <c r="K4" s="11" t="inlineStr">
        <is>
          <t>Third-party: verify</t>
        </is>
      </c>
      <c r="L4" s="9" t="inlineStr">
        <is>
          <t>https://www.whtop.com/amp/plans/digitalocean.com/137775</t>
        </is>
      </c>
      <c r="M4" s="6" t="inlineStr">
        <is>
          <t>Third-party listing (whtop); another source says 60.00. Managed databases are said to start at 15 USD; confirm on DigitalOcean.</t>
        </is>
      </c>
    </row>
    <row r="5" ht="62" customHeight="1">
      <c r="A5" s="6" t="inlineStr">
        <is>
          <t>Amazon Web Services</t>
        </is>
      </c>
      <c r="B5" s="6" t="inlineStr">
        <is>
          <t>Lightsail instance (Linux)</t>
        </is>
      </c>
      <c r="C5" s="6" t="inlineStr">
        <is>
          <t>4 GB bundle</t>
        </is>
      </c>
      <c r="D5" s="6" t="n">
        <v>2</v>
      </c>
      <c r="E5" s="6" t="n">
        <v>4</v>
      </c>
      <c r="F5" s="6" t="inlineStr">
        <is>
          <t>80 GB SSD</t>
        </is>
      </c>
      <c r="G5" s="6" t="inlineStr">
        <is>
          <t>4 TB</t>
        </is>
      </c>
      <c r="H5" s="7" t="n">
        <v>24</v>
      </c>
      <c r="I5" s="6" t="inlineStr">
        <is>
          <t>USD</t>
        </is>
      </c>
      <c r="J5" s="6" t="inlineStr">
        <is>
          <t>London region exists</t>
        </is>
      </c>
      <c r="K5" s="8" t="inlineStr">
        <is>
          <t>Verified on provider page</t>
        </is>
      </c>
      <c r="L5" s="9" t="inlineStr">
        <is>
          <t>https://aws.amazon.com/lightsail/pricing/</t>
        </is>
      </c>
      <c r="M5" s="6" t="inlineStr">
        <is>
          <t>Includes public IPv4. IPv6-only version is 20 USD. London-specific price not separately checked.</t>
        </is>
      </c>
    </row>
    <row r="6" ht="62" customHeight="1">
      <c r="A6" s="6" t="inlineStr">
        <is>
          <t>Amazon Web Services</t>
        </is>
      </c>
      <c r="B6" s="6" t="inlineStr">
        <is>
          <t>Lightsail instance (Linux)</t>
        </is>
      </c>
      <c r="C6" s="6" t="inlineStr">
        <is>
          <t>8 GB bundle</t>
        </is>
      </c>
      <c r="D6" s="6" t="n">
        <v>2</v>
      </c>
      <c r="E6" s="6" t="n">
        <v>8</v>
      </c>
      <c r="F6" s="6" t="inlineStr">
        <is>
          <t>160 GB SSD</t>
        </is>
      </c>
      <c r="G6" s="6" t="inlineStr">
        <is>
          <t>5 TB</t>
        </is>
      </c>
      <c r="H6" s="7" t="n">
        <v>44</v>
      </c>
      <c r="I6" s="6" t="inlineStr">
        <is>
          <t>USD</t>
        </is>
      </c>
      <c r="J6" s="6" t="inlineStr">
        <is>
          <t>London region exists</t>
        </is>
      </c>
      <c r="K6" s="8" t="inlineStr">
        <is>
          <t>Verified on provider page</t>
        </is>
      </c>
      <c r="L6" s="9" t="inlineStr">
        <is>
          <t>https://aws.amazon.com/lightsail/pricing/</t>
        </is>
      </c>
      <c r="M6" s="6" t="inlineStr">
        <is>
          <t>Only 2 vCPU at 8 GB.</t>
        </is>
      </c>
    </row>
    <row r="7" ht="62" customHeight="1">
      <c r="A7" s="6" t="inlineStr">
        <is>
          <t>Amazon Web Services</t>
        </is>
      </c>
      <c r="B7" s="6" t="inlineStr">
        <is>
          <t>Lightsail managed database (standard)</t>
        </is>
      </c>
      <c r="C7" s="6" t="inlineStr">
        <is>
          <t>2 GB</t>
        </is>
      </c>
      <c r="D7" s="6" t="n">
        <v>1</v>
      </c>
      <c r="E7" s="6" t="n">
        <v>2</v>
      </c>
      <c r="F7" s="6" t="inlineStr">
        <is>
          <t>80 GB SSD</t>
        </is>
      </c>
      <c r="G7" s="6" t="inlineStr">
        <is>
          <t>100 GB</t>
        </is>
      </c>
      <c r="H7" s="7" t="n">
        <v>30</v>
      </c>
      <c r="I7" s="6" t="inlineStr">
        <is>
          <t>USD</t>
        </is>
      </c>
      <c r="J7" s="6" t="inlineStr">
        <is>
          <t>London region exists</t>
        </is>
      </c>
      <c r="K7" s="8" t="inlineStr">
        <is>
          <t>Verified on provider page</t>
        </is>
      </c>
      <c r="L7" s="9" t="inlineStr">
        <is>
          <t>https://aws.amazon.com/lightsail/pricing/</t>
        </is>
      </c>
      <c r="M7" s="6" t="inlineStr">
        <is>
          <t>Encrypted. High availability is a separate, higher-priced plan.</t>
        </is>
      </c>
    </row>
    <row r="8" ht="62" customHeight="1">
      <c r="A8" s="6" t="inlineStr">
        <is>
          <t>Amazon Web Services</t>
        </is>
      </c>
      <c r="B8" s="6" t="inlineStr">
        <is>
          <t>Lightsail managed database (standard)</t>
        </is>
      </c>
      <c r="C8" s="6" t="inlineStr">
        <is>
          <t>4 GB</t>
        </is>
      </c>
      <c r="D8" s="6" t="n">
        <v>2</v>
      </c>
      <c r="E8" s="6" t="n">
        <v>4</v>
      </c>
      <c r="F8" s="6" t="inlineStr">
        <is>
          <t>120 GB SSD</t>
        </is>
      </c>
      <c r="G8" s="6" t="inlineStr">
        <is>
          <t>100 GB</t>
        </is>
      </c>
      <c r="H8" s="7" t="n">
        <v>60</v>
      </c>
      <c r="I8" s="6" t="inlineStr">
        <is>
          <t>USD</t>
        </is>
      </c>
      <c r="J8" s="6" t="inlineStr">
        <is>
          <t>London region exists</t>
        </is>
      </c>
      <c r="K8" s="8" t="inlineStr">
        <is>
          <t>Verified on provider page</t>
        </is>
      </c>
      <c r="L8" s="9" t="inlineStr">
        <is>
          <t>https://aws.amazon.com/lightsail/pricing/</t>
        </is>
      </c>
      <c r="M8" s="6" t="inlineStr">
        <is>
          <t>Encrypted.</t>
        </is>
      </c>
    </row>
    <row r="9" ht="62" customHeight="1">
      <c r="A9" s="6" t="inlineStr">
        <is>
          <t>Microsoft Azure</t>
        </is>
      </c>
      <c r="B9" s="6" t="inlineStr">
        <is>
          <t>Virtual machine B2als v2</t>
        </is>
      </c>
      <c r="C9" s="6" t="inlineStr">
        <is>
          <t>2 vCPU, 4 GB</t>
        </is>
      </c>
      <c r="D9" s="6" t="n">
        <v>2</v>
      </c>
      <c r="E9" s="6" t="n">
        <v>4</v>
      </c>
      <c r="F9" s="6" t="inlineStr">
        <is>
          <t>Disk extra</t>
        </is>
      </c>
      <c r="G9" s="6" t="inlineStr">
        <is>
          <t>Extra</t>
        </is>
      </c>
      <c r="H9" s="10" t="n">
        <v>31.03</v>
      </c>
      <c r="I9" s="6" t="inlineStr">
        <is>
          <t>USD</t>
        </is>
      </c>
      <c r="J9" s="6" t="inlineStr">
        <is>
          <t>UK South</t>
        </is>
      </c>
      <c r="K9" s="11" t="inlineStr">
        <is>
          <t>Third-party: verify</t>
        </is>
      </c>
      <c r="L9" s="9" t="inlineStr">
        <is>
          <t>https://www.devzero.io/instances/azure/Standard_B2als_v2</t>
        </is>
      </c>
      <c r="M9" s="6" t="inlineStr">
        <is>
          <t>Third-party site (devzero.io), about 0.0425 USD per hour. Another site shows a much lower rate, so the figure is unreliable. Use Azure's calculator, region UK South.</t>
        </is>
      </c>
    </row>
    <row r="10" ht="62" customHeight="1">
      <c r="A10" s="6" t="inlineStr">
        <is>
          <t>Microsoft Azure</t>
        </is>
      </c>
      <c r="B10" s="6" t="inlineStr">
        <is>
          <t>Azure Database for PostgreSQL flexible server</t>
        </is>
      </c>
      <c r="C10" s="6" t="inlineStr">
        <is>
          <t>Burstable B2s, 2 vCPU, 4 GiB</t>
        </is>
      </c>
      <c r="D10" s="6" t="n">
        <v>2</v>
      </c>
      <c r="E10" s="6" t="n">
        <v>4</v>
      </c>
      <c r="F10" s="6" t="inlineStr">
        <is>
          <t>Storage extra</t>
        </is>
      </c>
      <c r="G10" s="6" t="inlineStr"/>
      <c r="H10" s="10" t="n">
        <v>55</v>
      </c>
      <c r="I10" s="6" t="inlineStr">
        <is>
          <t>USD</t>
        </is>
      </c>
      <c r="J10" s="6" t="inlineStr">
        <is>
          <t>UK South</t>
        </is>
      </c>
      <c r="K10" s="11" t="inlineStr">
        <is>
          <t>Third-party: verify</t>
        </is>
      </c>
      <c r="L10" s="9" t="inlineStr">
        <is>
          <t>https://www.bytebase.com/dbcost/azure-flexible/instance/B2s/</t>
        </is>
      </c>
      <c r="M10" s="6" t="inlineStr">
        <is>
          <t>Third-party site (bytebase.com), page updated 20 July 2026. Confirm in Azure's calculator.</t>
        </is>
      </c>
    </row>
    <row r="11" ht="62" customHeight="1">
      <c r="A11" s="6" t="inlineStr">
        <is>
          <t>Hetzner</t>
        </is>
      </c>
      <c r="B11" s="6" t="inlineStr">
        <is>
          <t>Cloud server, Regular Performance</t>
        </is>
      </c>
      <c r="C11" s="6" t="inlineStr">
        <is>
          <t>CPX22</t>
        </is>
      </c>
      <c r="D11" s="6" t="n">
        <v>2</v>
      </c>
      <c r="E11" s="6" t="n">
        <v>4</v>
      </c>
      <c r="F11" s="6" t="inlineStr">
        <is>
          <t>80 GB NVMe</t>
        </is>
      </c>
      <c r="G11" s="6" t="inlineStr">
        <is>
          <t>20 TB</t>
        </is>
      </c>
      <c r="H11" s="7" t="n">
        <v>19.99</v>
      </c>
      <c r="I11" s="6" t="inlineStr">
        <is>
          <t>EUR</t>
        </is>
      </c>
      <c r="J11" s="6" t="inlineStr">
        <is>
          <t>Germany / Finland (no UK)</t>
        </is>
      </c>
      <c r="K11" s="8" t="inlineStr">
        <is>
          <t>Verified on provider page</t>
        </is>
      </c>
      <c r="L11" s="9" t="inlineStr">
        <is>
          <t>https://www.hetzner.com/cloud/regular-performance/</t>
        </is>
      </c>
      <c r="M11" s="6" t="inlineStr">
        <is>
          <t>Excl. VAT. Hetzner raised cloud prices in 2026, and its page showed the Create button as unavailable when checked on 27 Oct 2026; check availability before planning around it.</t>
        </is>
      </c>
    </row>
    <row r="12" ht="62" customHeight="1">
      <c r="A12" s="6" t="inlineStr">
        <is>
          <t>Scaleway</t>
        </is>
      </c>
      <c r="B12" s="6" t="inlineStr">
        <is>
          <t>Instance (General Purpose)</t>
        </is>
      </c>
      <c r="C12" s="6" t="inlineStr">
        <is>
          <t>BASIC2-A2C-4G</t>
        </is>
      </c>
      <c r="D12" s="6" t="n">
        <v>2</v>
      </c>
      <c r="E12" s="6" t="n">
        <v>4</v>
      </c>
      <c r="F12" s="6" t="inlineStr">
        <is>
          <t>Block storage extra</t>
        </is>
      </c>
      <c r="G12" s="6" t="inlineStr">
        <is>
          <t>Egress included</t>
        </is>
      </c>
      <c r="H12" s="7" t="n">
        <v>16.79</v>
      </c>
      <c r="I12" s="6" t="inlineStr">
        <is>
          <t>EUR</t>
        </is>
      </c>
      <c r="J12" s="6" t="inlineStr">
        <is>
          <t>Paris (no UK)</t>
        </is>
      </c>
      <c r="K12" s="8" t="inlineStr">
        <is>
          <t>Verified on provider page</t>
        </is>
      </c>
      <c r="L12" s="9" t="inlineStr">
        <is>
          <t>https://www.scaleway.com/en/pricing/virtual-instances/</t>
        </is>
      </c>
      <c r="M12" s="6" t="inlineStr">
        <is>
          <t>About EUR 0.023 per hour; excl. tax. Excludes storage and a public IPv4 address, which add cost.</t>
        </is>
      </c>
    </row>
    <row r="13" ht="62" customHeight="1">
      <c r="A13" s="6" t="inlineStr">
        <is>
          <t>Mythic Beasts</t>
        </is>
      </c>
      <c r="B13" s="6" t="inlineStr">
        <is>
          <t>Virtual server</t>
        </is>
      </c>
      <c r="C13" s="6" t="inlineStr">
        <is>
          <t>Spec to confirm</t>
        </is>
      </c>
      <c r="D13" s="6" t="n"/>
      <c r="E13" s="6" t="n"/>
      <c r="F13" s="6" t="inlineStr"/>
      <c r="G13" s="6" t="inlineStr"/>
      <c r="H13" s="12" t="n"/>
      <c r="I13" s="6" t="inlineStr">
        <is>
          <t>GBP</t>
        </is>
      </c>
      <c r="J13" s="6" t="inlineStr">
        <is>
          <t>UK: London (3 sites), Cambridge</t>
        </is>
      </c>
      <c r="K13" s="13" t="inlineStr">
        <is>
          <t>Quote needed</t>
        </is>
      </c>
      <c r="L13" s="9" t="inlineStr">
        <is>
          <t>https://www.mythic-beasts.com/servers/virtual</t>
        </is>
      </c>
      <c r="M13" s="6" t="inlineStr">
        <is>
          <t>Site shows 'from 4.90 GBP' (on demand 5.64), excl. VAT, but not for a 4 GB / 2 vCPU spec. Email sales@mythic-beasts.com for a quote. UK-owned provider.</t>
        </is>
      </c>
    </row>
    <row r="14" ht="62" customHeight="1">
      <c r="A14" s="6" t="inlineStr">
        <is>
          <t>Render (platform as a service)</t>
        </is>
      </c>
      <c r="B14" s="6" t="inlineStr">
        <is>
          <t>Web service</t>
        </is>
      </c>
      <c r="C14" s="6" t="inlineStr">
        <is>
          <t>Standard, 1 vCPU / 2 GB</t>
        </is>
      </c>
      <c r="D14" s="6" t="n">
        <v>1</v>
      </c>
      <c r="E14" s="6" t="n">
        <v>2</v>
      </c>
      <c r="F14" s="6" t="inlineStr"/>
      <c r="G14" s="6" t="inlineStr"/>
      <c r="H14" s="10" t="n">
        <v>25</v>
      </c>
      <c r="I14" s="6" t="inlineStr">
        <is>
          <t>USD</t>
        </is>
      </c>
      <c r="J14" s="6" t="inlineStr">
        <is>
          <t>Not UK (check)</t>
        </is>
      </c>
      <c r="K14" s="11" t="inlineStr">
        <is>
          <t>Third-party: verify</t>
        </is>
      </c>
      <c r="L14" s="9" t="inlineStr">
        <is>
          <t>https://makerkit.dev/pricing-calculator/render</t>
        </is>
      </c>
      <c r="M14" s="6" t="inlineStr">
        <is>
          <t>Third-party figure. A platform service runs one container; ASTRA's three-part Compose stack would need re-packaging and a separate database, so this is not a like-for-like option.</t>
        </is>
      </c>
    </row>
    <row r="15" ht="62" customHeight="1">
      <c r="A15" s="6" t="inlineStr">
        <is>
          <t>Fly.io (platform as a service)</t>
        </is>
      </c>
      <c r="B15" s="6" t="inlineStr">
        <is>
          <t>Machine</t>
        </is>
      </c>
      <c r="C15" s="6" t="inlineStr">
        <is>
          <t>shared-cpu-1x, 2 GB</t>
        </is>
      </c>
      <c r="D15" s="6" t="n">
        <v>1</v>
      </c>
      <c r="E15" s="6" t="n">
        <v>2</v>
      </c>
      <c r="F15" s="6" t="inlineStr"/>
      <c r="G15" s="6" t="inlineStr"/>
      <c r="H15" s="10" t="n">
        <v>10.7</v>
      </c>
      <c r="I15" s="6" t="inlineStr">
        <is>
          <t>USD</t>
        </is>
      </c>
      <c r="J15" s="6" t="inlineStr">
        <is>
          <t>Amsterdam example</t>
        </is>
      </c>
      <c r="K15" s="11" t="inlineStr">
        <is>
          <t>Third-party: verify</t>
        </is>
      </c>
      <c r="L15" s="9" t="inlineStr">
        <is>
          <t>https://www.morphllm.com/comparisons/flyio-vs-render</t>
        </is>
      </c>
      <c r="M15" s="6" t="inlineStr">
        <is>
          <t>Third-party figure; not a like-for-like option for the same reason as Render.</t>
        </is>
      </c>
    </row>
    <row r="16" ht="62" customHeight="1">
      <c r="A16" s="6" t="inlineStr">
        <is>
          <t>University or customer infrastructure</t>
        </is>
      </c>
      <c r="B16" s="6" t="inlineStr">
        <is>
          <t>Existing virtual server</t>
        </is>
      </c>
      <c r="C16" s="6" t="inlineStr">
        <is>
          <t>As agreed with IT</t>
        </is>
      </c>
      <c r="D16" s="6" t="n"/>
      <c r="E16" s="6" t="n">
        <v>4</v>
      </c>
      <c r="F16" s="6" t="inlineStr"/>
      <c r="G16" s="6" t="inlineStr"/>
      <c r="H16" s="12" t="n"/>
      <c r="I16" s="6" t="inlineStr">
        <is>
          <t>GBP</t>
        </is>
      </c>
      <c r="J16" s="6" t="inlineStr">
        <is>
          <t>On site (UK)</t>
        </is>
      </c>
      <c r="K16" s="13" t="inlineStr">
        <is>
          <t>Quote needed</t>
        </is>
      </c>
      <c r="L16" s="6" t="inlineStr">
        <is>
          <t>No public price page: ask IT or the provider</t>
        </is>
      </c>
      <c r="M16" s="6" t="inlineStr">
        <is>
          <t>No public price. Cost is internal or recharged; a customer hosting it at their own expense (as proposed) falls here. Needs IT to provide a Docker host, HTTPS and backups.</t>
        </is>
      </c>
    </row>
    <row r="18">
      <c r="A18" s="2" t="inlineStr">
        <is>
          <t>Green = read on the provider's own page on 27 Oct 2026. Amber = third-party site, verify. Red = no published price. Open the link in column L to check any figure.</t>
        </is>
      </c>
    </row>
  </sheetData>
  <autoFilter ref="A1:M16"/>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44" customWidth="1" min="7" max="7"/>
    <col width="70" customWidth="1" min="8" max="8"/>
  </cols>
  <sheetData>
    <row r="1">
      <c r="A1" s="14" t="inlineStr">
        <is>
          <t>Monthly cost scenarios (edit the yellow cells)</t>
        </is>
      </c>
    </row>
    <row r="3">
      <c r="A3" s="15" t="inlineStr">
        <is>
          <t>USD to GBP rate</t>
        </is>
      </c>
      <c r="B3" s="16" t="n">
        <v>0.75</v>
      </c>
      <c r="C3" s="2" t="inlineStr">
        <is>
          <t>PLACEHOLDER: enter today's rate</t>
        </is>
      </c>
    </row>
    <row r="4">
      <c r="A4" s="15" t="inlineStr">
        <is>
          <t>EUR to GBP rate</t>
        </is>
      </c>
      <c r="B4" s="16" t="n">
        <v>0.85</v>
      </c>
      <c r="C4" s="2" t="inlineStr">
        <is>
          <t>PLACEHOLDER: enter today's rate</t>
        </is>
      </c>
    </row>
    <row r="5">
      <c r="A5" s="15" t="inlineStr">
        <is>
          <t>UK VAT rate</t>
        </is>
      </c>
      <c r="B5" s="17" t="n">
        <v>0.2</v>
      </c>
      <c r="C5" s="2" t="inlineStr">
        <is>
          <t>Prices are quoted excl. VAT; set 0 if VAT-exempt or recoverable</t>
        </is>
      </c>
    </row>
    <row r="7" ht="32" customHeight="1">
      <c r="A7" s="5" t="inlineStr">
        <is>
          <t>Scenario</t>
        </is>
      </c>
      <c r="B7" s="5" t="inlineStr">
        <is>
          <t>Provider cost (as quoted)</t>
        </is>
      </c>
      <c r="C7" s="5" t="inlineStr">
        <is>
          <t>Currency</t>
        </is>
      </c>
      <c r="D7" s="5" t="inlineStr">
        <is>
          <t>Monthly in GBP excl. VAT</t>
        </is>
      </c>
      <c r="E7" s="5" t="inlineStr">
        <is>
          <t>Monthly in GBP incl. VAT</t>
        </is>
      </c>
      <c r="F7" s="5" t="inlineStr">
        <is>
          <t>Per year incl. VAT (GBP)</t>
        </is>
      </c>
      <c r="G7" s="5" t="inlineStr">
        <is>
          <t>What is included</t>
        </is>
      </c>
      <c r="H7" s="5" t="inlineStr">
        <is>
          <t>Reference (Options sheet rows and link)</t>
        </is>
      </c>
    </row>
    <row r="8" ht="44" customHeight="1">
      <c r="A8" s="6" t="inlineStr">
        <is>
          <t>1. Shared test: DigitalOcean 4 GiB droplet, database in a container</t>
        </is>
      </c>
      <c r="B8" s="18">
        <f>Options!H2</f>
        <v/>
      </c>
      <c r="C8" s="6" t="inlineStr">
        <is>
          <t>USD</t>
        </is>
      </c>
      <c r="D8" s="18">
        <f>B8*IF(C8="USD",$B$3,IF(C8="EUR",$B$4,1))</f>
        <v/>
      </c>
      <c r="E8" s="18">
        <f>D8*(1+$B$5)</f>
        <v/>
      </c>
      <c r="F8" s="18">
        <f>E8*12</f>
        <v/>
      </c>
      <c r="G8" s="6" t="inlineStr">
        <is>
          <t>One server running the whole stack; HTTPS with Caddy (free). No managed backups.</t>
        </is>
      </c>
      <c r="H8" s="6" t="inlineStr">
        <is>
          <t>Options row 2: https://www.digitalocean.com/pricing/droplets</t>
        </is>
      </c>
    </row>
    <row r="9" ht="44" customHeight="1">
      <c r="A9" s="6" t="inlineStr">
        <is>
          <t>1. Shared test: Amazon Lightsail 4 GB, database in a container</t>
        </is>
      </c>
      <c r="B9" s="18">
        <f>Options!H5</f>
        <v/>
      </c>
      <c r="C9" s="6" t="inlineStr">
        <is>
          <t>USD</t>
        </is>
      </c>
      <c r="D9" s="18">
        <f>B9*IF(C9="USD",$B$3,IF(C9="EUR",$B$4,1))</f>
        <v/>
      </c>
      <c r="E9" s="18">
        <f>D9*(1+$B$5)</f>
        <v/>
      </c>
      <c r="F9" s="18">
        <f>E9*12</f>
        <v/>
      </c>
      <c r="G9" s="6" t="inlineStr">
        <is>
          <t>As above.</t>
        </is>
      </c>
      <c r="H9" s="6" t="inlineStr">
        <is>
          <t>Options row 5: https://aws.amazon.com/lightsail/pricing/</t>
        </is>
      </c>
    </row>
    <row r="10" ht="44" customHeight="1">
      <c r="A10" s="6" t="inlineStr">
        <is>
          <t>1. Shared test: Scaleway BASIC2-A2C-4G, database in a container</t>
        </is>
      </c>
      <c r="B10" s="18">
        <f>Options!H12</f>
        <v/>
      </c>
      <c r="C10" s="6" t="inlineStr">
        <is>
          <t>EUR</t>
        </is>
      </c>
      <c r="D10" s="18">
        <f>B10*IF(C10="USD",$B$3,IF(C10="EUR",$B$4,1))</f>
        <v/>
      </c>
      <c r="E10" s="18">
        <f>D10*(1+$B$5)</f>
        <v/>
      </c>
      <c r="F10" s="18">
        <f>E10*12</f>
        <v/>
      </c>
      <c r="G10" s="6" t="inlineStr">
        <is>
          <t>As above; storage and IPv4 extra, so slightly higher.</t>
        </is>
      </c>
      <c r="H10" s="6" t="inlineStr">
        <is>
          <t>Options row 12: https://www.scaleway.com/en/pricing/virtual-instances/</t>
        </is>
      </c>
    </row>
    <row r="11" ht="44" customHeight="1">
      <c r="A11" s="6" t="inlineStr">
        <is>
          <t>1. Shared test: Hetzner CPX22, database in a container</t>
        </is>
      </c>
      <c r="B11" s="18">
        <f>Options!H11</f>
        <v/>
      </c>
      <c r="C11" s="6" t="inlineStr">
        <is>
          <t>EUR</t>
        </is>
      </c>
      <c r="D11" s="18">
        <f>B11*IF(C11="USD",$B$3,IF(C11="EUR",$B$4,1))</f>
        <v/>
      </c>
      <c r="E11" s="18">
        <f>D11*(1+$B$5)</f>
        <v/>
      </c>
      <c r="F11" s="18">
        <f>E11*12</f>
        <v/>
      </c>
      <c r="G11" s="6" t="inlineStr">
        <is>
          <t>As above; availability to be checked.</t>
        </is>
      </c>
      <c r="H11" s="6" t="inlineStr">
        <is>
          <t>Options row 11: https://www.hetzner.com/cloud/regular-performance/</t>
        </is>
      </c>
    </row>
    <row r="12" ht="44" customHeight="1">
      <c r="A12" s="6" t="inlineStr">
        <is>
          <t>2. Pilot: Lightsail 4 GB server + Lightsail 2 GB managed database</t>
        </is>
      </c>
      <c r="B12" s="18">
        <f>Options!H5+Options!H7</f>
        <v/>
      </c>
      <c r="C12" s="6" t="inlineStr">
        <is>
          <t>USD</t>
        </is>
      </c>
      <c r="D12" s="18">
        <f>B12*IF(C12="USD",$B$3,IF(C12="EUR",$B$4,1))</f>
        <v/>
      </c>
      <c r="E12" s="18">
        <f>D12*(1+$B$5)</f>
        <v/>
      </c>
      <c r="F12" s="18">
        <f>E12*12</f>
        <v/>
      </c>
      <c r="G12" s="6" t="inlineStr">
        <is>
          <t>Managed, encrypted database with provider backups; server patched by you.</t>
        </is>
      </c>
      <c r="H12" s="6" t="inlineStr">
        <is>
          <t>Options rows 5 and 7: https://aws.amazon.com/lightsail/pricing/</t>
        </is>
      </c>
    </row>
    <row r="13" ht="44" customHeight="1">
      <c r="A13" s="6" t="inlineStr">
        <is>
          <t>2. Pilot: DigitalOcean 4 GiB droplet + managed PostgreSQL 4 GiB</t>
        </is>
      </c>
      <c r="B13" s="18">
        <f>Options!H2+Options!H4</f>
        <v/>
      </c>
      <c r="C13" s="6" t="inlineStr">
        <is>
          <t>USD</t>
        </is>
      </c>
      <c r="D13" s="18">
        <f>B13*IF(C13="USD",$B$3,IF(C13="EUR",$B$4,1))</f>
        <v/>
      </c>
      <c r="E13" s="18">
        <f>D13*(1+$B$5)</f>
        <v/>
      </c>
      <c r="F13" s="18">
        <f>E13*12</f>
        <v/>
      </c>
      <c r="G13" s="6" t="inlineStr">
        <is>
          <t>Database figure is third-party; verify.</t>
        </is>
      </c>
      <c r="H13" s="6" t="inlineStr">
        <is>
          <t>Options rows 2 and 4: https://www.digitalocean.com/pricing/droplets and https://www.whtop.com/amp/plans/digitalocean.com/137775 (database, third party)</t>
        </is>
      </c>
    </row>
    <row r="14" ht="44" customHeight="1">
      <c r="A14" s="6" t="inlineStr">
        <is>
          <t>2. Pilot: Azure B2als v2 VM + PostgreSQL B2s (UK South)</t>
        </is>
      </c>
      <c r="B14" s="18">
        <f>Options!H9+Options!H10</f>
        <v/>
      </c>
      <c r="C14" s="6" t="inlineStr">
        <is>
          <t>USD</t>
        </is>
      </c>
      <c r="D14" s="18">
        <f>B14*IF(C14="USD",$B$3,IF(C14="EUR",$B$4,1))</f>
        <v/>
      </c>
      <c r="E14" s="18">
        <f>D14*(1+$B$5)</f>
        <v/>
      </c>
      <c r="F14" s="18">
        <f>E14*12</f>
        <v/>
      </c>
      <c r="G14" s="6" t="inlineStr">
        <is>
          <t>Both figures are third-party; verify in Azure's calculator. Storage and bandwidth extra.</t>
        </is>
      </c>
      <c r="H14" s="6" t="inlineStr">
        <is>
          <t>Options rows 9 and 10: https://www.devzero.io/instances/azure/Standard_B2als_v2 and https://www.bytebase.com/dbcost/azure-flexible/instance/B2s/ (both third party)</t>
        </is>
      </c>
    </row>
    <row r="15" ht="44" customHeight="1">
      <c r="A15" s="6" t="inlineStr">
        <is>
          <t>3. Small production: DigitalOcean 8 GiB droplet + managed PostgreSQL 4 GiB</t>
        </is>
      </c>
      <c r="B15" s="18">
        <f>Options!H3+Options!H4</f>
        <v/>
      </c>
      <c r="C15" s="6" t="inlineStr">
        <is>
          <t>USD</t>
        </is>
      </c>
      <c r="D15" s="18">
        <f>B15*IF(C15="USD",$B$3,IF(C15="EUR",$B$4,1))</f>
        <v/>
      </c>
      <c r="E15" s="18">
        <f>D15*(1+$B$5)</f>
        <v/>
      </c>
      <c r="F15" s="18">
        <f>E15*12</f>
        <v/>
      </c>
      <c r="G15" s="6" t="inlineStr">
        <is>
          <t>Excludes staging server, load balancer, backups beyond the provider's, monitoring.</t>
        </is>
      </c>
      <c r="H15" s="6" t="inlineStr">
        <is>
          <t>Options rows 3 and 4: https://www.digitalocean.com/pricing/droplets and https://www.whtop.com/amp/plans/digitalocean.com/137775 (database, third party)</t>
        </is>
      </c>
    </row>
    <row r="16" ht="44" customHeight="1">
      <c r="A16" s="6" t="inlineStr">
        <is>
          <t>3. Small production: Lightsail 8 GB server + 4 GB managed database</t>
        </is>
      </c>
      <c r="B16" s="18">
        <f>Options!H6+Options!H8</f>
        <v/>
      </c>
      <c r="C16" s="6" t="inlineStr">
        <is>
          <t>USD</t>
        </is>
      </c>
      <c r="D16" s="18">
        <f>B16*IF(C16="USD",$B$3,IF(C16="EUR",$B$4,1))</f>
        <v/>
      </c>
      <c r="E16" s="18">
        <f>D16*(1+$B$5)</f>
        <v/>
      </c>
      <c r="F16" s="18">
        <f>E16*12</f>
        <v/>
      </c>
      <c r="G16" s="6" t="inlineStr">
        <is>
          <t>As above.</t>
        </is>
      </c>
      <c r="H16" s="6" t="inlineStr">
        <is>
          <t>Options rows 6 and 8: https://aws.amazon.com/lightsail/pricing/</t>
        </is>
      </c>
    </row>
    <row r="18">
      <c r="A18" s="2" t="inlineStr">
        <is>
          <t>Monthly totals include only the rows listed. They exclude domain, backups storage, extra traffic, monitoring and staff time (see Other costs).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34" customWidth="1" min="1" max="1"/>
    <col width="28" customWidth="1" min="2" max="2"/>
    <col width="16" customWidth="1" min="3" max="3"/>
    <col width="70" customWidth="1" min="4" max="4"/>
    <col width="50" customWidth="1" min="5" max="5"/>
  </cols>
  <sheetData>
    <row r="1" ht="32" customHeight="1">
      <c r="A1" s="5" t="inlineStr">
        <is>
          <t>Item</t>
        </is>
      </c>
      <c r="B1" s="5" t="inlineStr">
        <is>
          <t>Typical cost</t>
        </is>
      </c>
      <c r="C1" s="5" t="inlineStr">
        <is>
          <t>Status</t>
        </is>
      </c>
      <c r="D1" s="5" t="inlineStr">
        <is>
          <t>Notes</t>
        </is>
      </c>
      <c r="E1" s="5" t="inlineStr">
        <is>
          <t>Reference</t>
        </is>
      </c>
    </row>
    <row r="2" ht="44" customHeight="1">
      <c r="A2" s="6" t="inlineStr">
        <is>
          <t>HTTPS certificate</t>
        </is>
      </c>
      <c r="B2" s="6" t="inlineStr">
        <is>
          <t>0 (Let's Encrypt via Caddy)</t>
        </is>
      </c>
      <c r="C2" s="11" t="inlineStr">
        <is>
          <t>Known</t>
        </is>
      </c>
      <c r="D2" s="6" t="inlineStr">
        <is>
          <t>Free and renewed automatically by Caddy; a cloud load balancer's managed certificate is also free but the load balancer itself is billed.</t>
        </is>
      </c>
      <c r="E2" s="6" t="inlineStr">
        <is>
          <t>https://letsencrypt.org/about/</t>
        </is>
      </c>
    </row>
    <row r="3" ht="44" customHeight="1">
      <c r="A3" s="6" t="inlineStr">
        <is>
          <t>Domain name</t>
        </is>
      </c>
      <c r="B3" s="6" t="inlineStr">
        <is>
          <t>Roughly 10 to 15 GBP a year for a common domain</t>
        </is>
      </c>
      <c r="C3" s="11" t="inlineStr">
        <is>
          <t>Estimate: verify</t>
        </is>
      </c>
      <c r="D3" s="6" t="inlineStr">
        <is>
          <t>Varies by registrar and domain type; a university or customer may supply a subdomain at no cost.</t>
        </is>
      </c>
      <c r="E3" s="6" t="inlineStr">
        <is>
          <t>No source: rough estimate, check a registrar</t>
        </is>
      </c>
    </row>
    <row r="4" ht="44" customHeight="1">
      <c r="A4" s="6" t="inlineStr">
        <is>
          <t>Backups</t>
        </is>
      </c>
      <c r="B4" s="6" t="inlineStr">
        <is>
          <t>Provider snapshots or object storage, billed by size</t>
        </is>
      </c>
      <c r="C4" s="11" t="inlineStr">
        <is>
          <t>Not priced</t>
        </is>
      </c>
      <c r="D4" s="6" t="inlineStr">
        <is>
          <t>Managed databases include backups; for a self-run database copy a pg_dump off the server and test the restore.</t>
        </is>
      </c>
      <c r="E4" s="6" t="inlineStr">
        <is>
          <t>No source: depends on provider</t>
        </is>
      </c>
    </row>
    <row r="5" ht="44" customHeight="1">
      <c r="A5" s="6" t="inlineStr">
        <is>
          <t>Outbound traffic beyond the allowance</t>
        </is>
      </c>
      <c r="B5" s="6" t="inlineStr">
        <is>
          <t>Provider-specific per GB</t>
        </is>
      </c>
      <c r="C5" s="11" t="inlineStr">
        <is>
          <t>Not priced</t>
        </is>
      </c>
      <c r="D5" s="6" t="inlineStr">
        <is>
          <t>Allowances in the Options sheet are large (several TB) for a few users and SDK feeds.</t>
        </is>
      </c>
      <c r="E5" s="6" t="inlineStr">
        <is>
          <t>Provider pricing pages (see Options)</t>
        </is>
      </c>
    </row>
    <row r="6" ht="44" customHeight="1">
      <c r="A6" s="6" t="inlineStr">
        <is>
          <t>Monitoring and log storage</t>
        </is>
      </c>
      <c r="B6" s="6" t="inlineStr">
        <is>
          <t>Free to low for a small site</t>
        </is>
      </c>
      <c r="C6" s="11" t="inlineStr">
        <is>
          <t>Not priced</t>
        </is>
      </c>
      <c r="D6" s="6" t="inlineStr">
        <is>
          <t>Send logs and the audit log to the organisation's existing logging if there is one.</t>
        </is>
      </c>
      <c r="E6" s="6" t="inlineStr">
        <is>
          <t>No source</t>
        </is>
      </c>
    </row>
    <row r="7" ht="44" customHeight="1">
      <c r="A7" s="6" t="inlineStr">
        <is>
          <t>Staff time</t>
        </is>
      </c>
      <c r="B7" s="6" t="inlineStr">
        <is>
          <t>Hours per month</t>
        </is>
      </c>
      <c r="C7" s="11" t="inlineStr">
        <is>
          <t>Not priced</t>
        </is>
      </c>
      <c r="D7" s="6" t="inlineStr">
        <is>
          <t>Patching, updates, backup checks; the main real cost for a self-hosted option. A managed database removes part of it.</t>
        </is>
      </c>
      <c r="E7" s="6" t="inlineStr">
        <is>
          <t>No source: staff time</t>
        </is>
      </c>
    </row>
    <row r="8" ht="44" customHeight="1">
      <c r="A8" s="6" t="inlineStr">
        <is>
          <t>Independent security test</t>
        </is>
      </c>
      <c r="B8" s="6" t="inlineStr">
        <is>
          <t>Quote needed</t>
        </is>
      </c>
      <c r="C8" s="11" t="inlineStr">
        <is>
          <t>Not priced</t>
        </is>
      </c>
      <c r="D8" s="6" t="inlineStr">
        <is>
          <t>Recommended before a regulated customer goes live.</t>
        </is>
      </c>
      <c r="E8" s="6" t="inlineStr">
        <is>
          <t>No source: ask for quotes</t>
        </is>
      </c>
    </row>
    <row r="9" ht="44" customHeight="1">
      <c r="A9" s="6" t="inlineStr">
        <is>
          <t>Single sign-on with MFA in front</t>
        </is>
      </c>
      <c r="B9" s="6" t="inlineStr">
        <is>
          <t>Depends on the organisation's identity provider</t>
        </is>
      </c>
      <c r="C9" s="11" t="inlineStr">
        <is>
          <t>Not priced</t>
        </is>
      </c>
      <c r="D9" s="6" t="inlineStr">
        <is>
          <t>Many organisations already have this through Entra ID or similar.</t>
        </is>
      </c>
      <c r="E9" s="6" t="inlineStr">
        <is>
          <t>No source: depends on the organisation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34" customWidth="1" min="1" max="1"/>
    <col width="74" customWidth="1" min="2" max="2"/>
    <col width="40" customWidth="1" min="3" max="3"/>
  </cols>
  <sheetData>
    <row r="1" ht="32" customHeight="1">
      <c r="A1" s="5" t="inlineStr">
        <is>
          <t>Provider / topic</t>
        </is>
      </c>
      <c r="B1" s="5" t="inlineStr">
        <is>
          <t>URL</t>
        </is>
      </c>
      <c r="C1" s="5" t="inlineStr">
        <is>
          <t>How used</t>
        </is>
      </c>
    </row>
    <row r="2">
      <c r="A2" s="6" t="inlineStr">
        <is>
          <t>DigitalOcean droplets</t>
        </is>
      </c>
      <c r="B2" s="9" t="inlineStr">
        <is>
          <t>https://www.digitalocean.com/pricing/droplets</t>
        </is>
      </c>
      <c r="C2" s="6" t="inlineStr">
        <is>
          <t>Droplet prices read on 27 Oct 2026</t>
        </is>
      </c>
    </row>
    <row r="3">
      <c r="A3" s="6" t="inlineStr">
        <is>
          <t>Amazon Lightsail</t>
        </is>
      </c>
      <c r="B3" s="9" t="inlineStr">
        <is>
          <t>https://aws.amazon.com/lightsail/pricing/</t>
        </is>
      </c>
      <c r="C3" s="6" t="inlineStr">
        <is>
          <t>Instance and managed database prices read on 27 Oct 2026</t>
        </is>
      </c>
    </row>
    <row r="4">
      <c r="A4" s="6" t="inlineStr">
        <is>
          <t>Hetzner Cloud</t>
        </is>
      </c>
      <c r="B4" s="9" t="inlineStr">
        <is>
          <t>https://www.hetzner.com/cloud/regular-performance/</t>
        </is>
      </c>
      <c r="C4" s="6" t="inlineStr">
        <is>
          <t>CPX22 price and 'currently unavailable' notice read on 27 Oct 2026</t>
        </is>
      </c>
    </row>
    <row r="5">
      <c r="A5" s="6" t="inlineStr">
        <is>
          <t>Scaleway</t>
        </is>
      </c>
      <c r="B5" s="9" t="inlineStr">
        <is>
          <t>https://www.scaleway.com/en/pricing/virtual-instances/</t>
        </is>
      </c>
      <c r="C5" s="6" t="inlineStr">
        <is>
          <t>BASIC2-A2C-4G price read on 27 Oct 2026</t>
        </is>
      </c>
    </row>
    <row r="6">
      <c r="A6" s="6" t="inlineStr">
        <is>
          <t>Mythic Beasts</t>
        </is>
      </c>
      <c r="B6" s="9" t="inlineStr">
        <is>
          <t>https://www.mythic-beasts.com/servers/virtual</t>
        </is>
      </c>
      <c r="C6" s="6" t="inlineStr">
        <is>
          <t>UK locations and 'from' price; quote needed</t>
        </is>
      </c>
    </row>
    <row r="7">
      <c r="A7" s="6" t="inlineStr">
        <is>
          <t>DigitalOcean managed PostgreSQL (third party)</t>
        </is>
      </c>
      <c r="B7" s="9" t="inlineStr">
        <is>
          <t>https://www.whtop.com/amp/plans/digitalocean.com/137775</t>
        </is>
      </c>
      <c r="C7" s="6" t="inlineStr">
        <is>
          <t>Indicative price; verify</t>
        </is>
      </c>
    </row>
    <row r="8">
      <c r="A8" s="6" t="inlineStr">
        <is>
          <t>Azure VM B2als v2 (third party)</t>
        </is>
      </c>
      <c r="B8" s="9" t="inlineStr">
        <is>
          <t>https://www.devzero.io/instances/azure/Standard_B2als_v2</t>
        </is>
      </c>
      <c r="C8" s="6" t="inlineStr">
        <is>
          <t>Indicative price; verify</t>
        </is>
      </c>
    </row>
    <row r="9">
      <c r="A9" s="6" t="inlineStr">
        <is>
          <t>Azure PostgreSQL B2s (third party)</t>
        </is>
      </c>
      <c r="B9" s="9" t="inlineStr">
        <is>
          <t>https://www.bytebase.com/dbcost/azure-flexible/instance/B2s/</t>
        </is>
      </c>
      <c r="C9" s="6" t="inlineStr">
        <is>
          <t>Indicative price; verify</t>
        </is>
      </c>
    </row>
    <row r="10">
      <c r="A10" s="6" t="inlineStr">
        <is>
          <t>Render pricing (third party)</t>
        </is>
      </c>
      <c r="B10" s="9" t="inlineStr">
        <is>
          <t>https://makerkit.dev/pricing-calculator/render</t>
        </is>
      </c>
      <c r="C10" s="6" t="inlineStr">
        <is>
          <t>Indicative price</t>
        </is>
      </c>
    </row>
    <row r="11">
      <c r="A11" s="6" t="inlineStr">
        <is>
          <t>Fly.io vs Render (third party)</t>
        </is>
      </c>
      <c r="B11" s="9" t="inlineStr">
        <is>
          <t>https://www.morphllm.com/comparisons/flyio-vs-render</t>
        </is>
      </c>
      <c r="C11" s="6" t="inlineStr">
        <is>
          <t>Indicative price</t>
        </is>
      </c>
    </row>
    <row r="12">
      <c r="A12" s="6" t="inlineStr">
        <is>
          <t>Hetzner 2026 price changes (third party)</t>
        </is>
      </c>
      <c r="B12" s="9" t="inlineStr">
        <is>
          <t>https://privatedevops.com/news/hetzner-june-2026-cloud-price-increase-what-to-do</t>
        </is>
      </c>
      <c r="C12" s="6" t="inlineStr">
        <is>
          <t>Context for the Hetzner repricing</t>
        </is>
      </c>
    </row>
    <row r="13">
      <c r="A13" s="6" t="inlineStr">
        <is>
          <t>ASTRA hosting requirements</t>
        </is>
      </c>
      <c r="B13" s="6" t="inlineStr">
        <is>
          <t>deploy/DEPLOY.md in the ASTRA repository</t>
        </is>
      </c>
      <c r="C13" s="6" t="inlineStr">
        <is>
          <t>RAM, disk and Docker requirements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2026-10-27T09:59:42Z</dcterms:created>
  <dcterms:modified xsi:type="dcterms:W3CDTF">2026-10-27T09:59:42Z</dcterms:modified>
</cp:coreProperties>
</file>